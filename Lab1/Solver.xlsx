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PycharmProjects\optimization-methods\Lab1\"/>
    </mc:Choice>
  </mc:AlternateContent>
  <xr:revisionPtr revIDLastSave="0" documentId="13_ncr:1_{2686D028-8C39-4A76-94C5-E8922729A5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definedNames>
    <definedName name="solver_adj" localSheetId="0" hidden="1">Лист1!$B$6:$E$6</definedName>
    <definedName name="solver_cvg" localSheetId="0" hidden="1">"""""""""""""""""""""""""""""""0,0001"""""""""""""""""""""""""""""""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Лист1!$G$3</definedName>
    <definedName name="solver_lhs2" localSheetId="0" hidden="1">Лист1!$G$4</definedName>
    <definedName name="solver_lhs3" localSheetId="0" hidden="1">Лист1!$G$5</definedName>
    <definedName name="solver_lhs4" localSheetId="0" hidden="1">Лист1!$G$5</definedName>
    <definedName name="solver_mip" localSheetId="0" hidden="1">2147483647</definedName>
    <definedName name="solver_mni" localSheetId="0" hidden="1">30</definedName>
    <definedName name="solver_mrt" localSheetId="0" hidden="1">"""""""""""""""""""""""""""""""0,075"""""""""""""""""""""""""""""""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Лист1!$G$2</definedName>
    <definedName name="solver_pre" localSheetId="0" hidden="1">"""""""""""""""""""""""""""""""0,000001"""""""""""""""""""""""""""""""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el4" localSheetId="0" hidden="1">3</definedName>
    <definedName name="solver_rhs1" localSheetId="0" hidden="1">Лист1!$I$3</definedName>
    <definedName name="solver_rhs2" localSheetId="0" hidden="1">Лист1!$I$4</definedName>
    <definedName name="solver_rhs3" localSheetId="0" hidden="1">Лист1!$I$5</definedName>
    <definedName name="solver_rhs4" localSheetId="0" hidden="1">Лист1!$I$5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4" i="1"/>
  <c r="G5" i="1"/>
  <c r="G3" i="1"/>
</calcChain>
</file>

<file path=xl/sharedStrings.xml><?xml version="1.0" encoding="utf-8"?>
<sst xmlns="http://schemas.openxmlformats.org/spreadsheetml/2006/main" count="16" uniqueCount="12">
  <si>
    <t>x1</t>
  </si>
  <si>
    <t>x2</t>
  </si>
  <si>
    <t>x3</t>
  </si>
  <si>
    <t>x4</t>
  </si>
  <si>
    <t>z =</t>
  </si>
  <si>
    <t>&lt;=</t>
  </si>
  <si>
    <t>&gt;=</t>
  </si>
  <si>
    <t>огранич.</t>
  </si>
  <si>
    <t>реш.</t>
  </si>
  <si>
    <t xml:space="preserve"> --&gt;</t>
  </si>
  <si>
    <t>max</t>
  </si>
  <si>
    <t xml:space="preserve">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</si>
</sst>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90" wrapText="1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62120</xdr:colOff>
      <xdr:row>30</xdr:row>
      <xdr:rowOff>33474</xdr:rowOff>
    </xdr:from>
    <xdr:to>
      <xdr:col>13</xdr:col>
      <xdr:colOff>6408</xdr:colOff>
      <xdr:row>53</xdr:row>
      <xdr:rowOff>25149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2BA8B45-554D-4C71-9022-F2EDB0FB6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435" y="5831300"/>
          <a:ext cx="4568745" cy="44366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6902</xdr:colOff>
      <xdr:row>10</xdr:row>
      <xdr:rowOff>22087</xdr:rowOff>
    </xdr:from>
    <xdr:to>
      <xdr:col>8</xdr:col>
      <xdr:colOff>362052</xdr:colOff>
      <xdr:row>15</xdr:row>
      <xdr:rowOff>186017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B86D581-CEE6-4B9A-A524-E27A48431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326" y="1954696"/>
          <a:ext cx="3592269" cy="113023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114852</xdr:colOff>
      <xdr:row>8</xdr:row>
      <xdr:rowOff>85587</xdr:rowOff>
    </xdr:from>
    <xdr:to>
      <xdr:col>8</xdr:col>
      <xdr:colOff>260902</xdr:colOff>
      <xdr:row>9</xdr:row>
      <xdr:rowOff>170898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99FB5F-3B79-4F25-B90E-2AB8A429BA10}"/>
            </a:ext>
          </a:extLst>
        </xdr:cNvPr>
        <xdr:cNvSpPr txBox="1"/>
      </xdr:nvSpPr>
      <xdr:spPr>
        <a:xfrm>
          <a:off x="508276" y="1631674"/>
          <a:ext cx="3383169" cy="278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Сюда</a:t>
          </a:r>
          <a:r>
            <a:rPr lang="ru-RU" sz="1100" baseline="0"/>
            <a:t> вводим коэффициенты матрицы ограничений</a:t>
          </a:r>
          <a:endParaRPr lang="ru-RU" sz="1100"/>
        </a:p>
      </xdr:txBody>
    </xdr:sp>
    <xdr:clientData/>
  </xdr:twoCellAnchor>
  <xdr:twoCellAnchor editAs="oneCell">
    <xdr:from>
      <xdr:col>10</xdr:col>
      <xdr:colOff>6902</xdr:colOff>
      <xdr:row>9</xdr:row>
      <xdr:rowOff>151848</xdr:rowOff>
    </xdr:from>
    <xdr:to>
      <xdr:col>17</xdr:col>
      <xdr:colOff>362052</xdr:colOff>
      <xdr:row>15</xdr:row>
      <xdr:rowOff>177544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81A6BBD3-5D4C-45F6-8465-9E687235D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2337" y="1891196"/>
          <a:ext cx="3592269" cy="118526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10</xdr:col>
      <xdr:colOff>146602</xdr:colOff>
      <xdr:row>8</xdr:row>
      <xdr:rowOff>22087</xdr:rowOff>
    </xdr:from>
    <xdr:to>
      <xdr:col>17</xdr:col>
      <xdr:colOff>292652</xdr:colOff>
      <xdr:row>9</xdr:row>
      <xdr:rowOff>104637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FDD678-057A-4133-A77E-74B624E88002}"/>
            </a:ext>
          </a:extLst>
        </xdr:cNvPr>
        <xdr:cNvSpPr txBox="1"/>
      </xdr:nvSpPr>
      <xdr:spPr>
        <a:xfrm>
          <a:off x="4702037" y="1568174"/>
          <a:ext cx="3383169" cy="2758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Сюда</a:t>
          </a:r>
          <a:r>
            <a:rPr lang="ru-RU" sz="1100" baseline="0"/>
            <a:t> вводим коэффициенты целевой функции</a:t>
          </a:r>
          <a:endParaRPr lang="ru-RU" sz="1100"/>
        </a:p>
      </xdr:txBody>
    </xdr:sp>
    <xdr:clientData/>
  </xdr:twoCellAnchor>
  <xdr:twoCellAnchor editAs="oneCell">
    <xdr:from>
      <xdr:col>1</xdr:col>
      <xdr:colOff>20705</xdr:colOff>
      <xdr:row>19</xdr:row>
      <xdr:rowOff>165652</xdr:rowOff>
    </xdr:from>
    <xdr:to>
      <xdr:col>8</xdr:col>
      <xdr:colOff>383586</xdr:colOff>
      <xdr:row>25</xdr:row>
      <xdr:rowOff>137841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D9E74F33-38EE-4311-A53C-F810B9BCC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4129" y="3837609"/>
          <a:ext cx="3600000" cy="113175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158750</xdr:colOff>
      <xdr:row>18</xdr:row>
      <xdr:rowOff>27610</xdr:rowOff>
    </xdr:from>
    <xdr:to>
      <xdr:col>8</xdr:col>
      <xdr:colOff>304800</xdr:colOff>
      <xdr:row>19</xdr:row>
      <xdr:rowOff>112921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FB9050-0FA6-468A-BE1C-739409AF6147}"/>
            </a:ext>
          </a:extLst>
        </xdr:cNvPr>
        <xdr:cNvSpPr txBox="1"/>
      </xdr:nvSpPr>
      <xdr:spPr>
        <a:xfrm>
          <a:off x="552174" y="3506306"/>
          <a:ext cx="3383169" cy="278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Здесь</a:t>
          </a:r>
          <a:r>
            <a:rPr lang="ru-RU" sz="1100" baseline="0"/>
            <a:t> будут подобранные </a:t>
          </a:r>
          <a:r>
            <a:rPr lang="en-US" sz="1100" baseline="0"/>
            <a:t>x1, x2, x3, x4</a:t>
          </a:r>
          <a:endParaRPr lang="ru-RU" sz="1100"/>
        </a:p>
      </xdr:txBody>
    </xdr:sp>
    <xdr:clientData/>
  </xdr:twoCellAnchor>
  <xdr:twoCellAnchor editAs="oneCell">
    <xdr:from>
      <xdr:col>10</xdr:col>
      <xdr:colOff>165652</xdr:colOff>
      <xdr:row>22</xdr:row>
      <xdr:rowOff>48315</xdr:rowOff>
    </xdr:from>
    <xdr:to>
      <xdr:col>18</xdr:col>
      <xdr:colOff>66087</xdr:colOff>
      <xdr:row>28</xdr:row>
      <xdr:rowOff>35753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11605F21-D0EC-4000-BF06-28941A45B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1087" y="4300054"/>
          <a:ext cx="3600000" cy="114700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10</xdr:col>
      <xdr:colOff>290444</xdr:colOff>
      <xdr:row>17</xdr:row>
      <xdr:rowOff>6902</xdr:rowOff>
    </xdr:from>
    <xdr:to>
      <xdr:col>17</xdr:col>
      <xdr:colOff>436494</xdr:colOff>
      <xdr:row>21</xdr:row>
      <xdr:rowOff>179457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B440660-7BA5-41A7-8980-795F0191437B}"/>
            </a:ext>
          </a:extLst>
        </xdr:cNvPr>
        <xdr:cNvSpPr txBox="1"/>
      </xdr:nvSpPr>
      <xdr:spPr>
        <a:xfrm>
          <a:off x="4845879" y="3292337"/>
          <a:ext cx="3383169" cy="945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В</a:t>
          </a:r>
          <a:r>
            <a:rPr lang="ru-RU" sz="1100" baseline="0"/>
            <a:t> этих ячейках записана формула, которая считает значение функции (целевой или ограничивающей) при конкретных </a:t>
          </a:r>
          <a:r>
            <a:rPr lang="en-US" sz="1100" baseline="0"/>
            <a:t>x1, x2, x3, x4</a:t>
          </a:r>
          <a:r>
            <a:rPr lang="ru-RU" sz="1100" baseline="0"/>
            <a:t>. Если точнее - считается скалярное произведение вектора функции на вектор переменных </a:t>
          </a:r>
          <a:r>
            <a:rPr lang="en-US" sz="1100" baseline="0"/>
            <a:t>x</a:t>
          </a:r>
          <a:endParaRPr lang="ru-RU" sz="1100"/>
        </a:p>
      </xdr:txBody>
    </xdr:sp>
    <xdr:clientData/>
  </xdr:twoCellAnchor>
  <xdr:twoCellAnchor>
    <xdr:from>
      <xdr:col>7</xdr:col>
      <xdr:colOff>55217</xdr:colOff>
      <xdr:row>15</xdr:row>
      <xdr:rowOff>69022</xdr:rowOff>
    </xdr:from>
    <xdr:to>
      <xdr:col>8</xdr:col>
      <xdr:colOff>448642</xdr:colOff>
      <xdr:row>16</xdr:row>
      <xdr:rowOff>158750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A38494B-7155-4DBE-849E-214F39FFE92C}"/>
            </a:ext>
          </a:extLst>
        </xdr:cNvPr>
        <xdr:cNvSpPr txBox="1"/>
      </xdr:nvSpPr>
      <xdr:spPr>
        <a:xfrm>
          <a:off x="3223315" y="2967935"/>
          <a:ext cx="855870" cy="28298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>
              <a:solidFill>
                <a:schemeClr val="bg1"/>
              </a:solidFill>
            </a:rPr>
            <a:t>Рисунок 1</a:t>
          </a:r>
        </a:p>
      </xdr:txBody>
    </xdr:sp>
    <xdr:clientData/>
  </xdr:twoCellAnchor>
  <xdr:twoCellAnchor>
    <xdr:from>
      <xdr:col>16</xdr:col>
      <xdr:colOff>138043</xdr:colOff>
      <xdr:row>15</xdr:row>
      <xdr:rowOff>69022</xdr:rowOff>
    </xdr:from>
    <xdr:to>
      <xdr:col>18</xdr:col>
      <xdr:colOff>69022</xdr:colOff>
      <xdr:row>16</xdr:row>
      <xdr:rowOff>158750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E3B84E0-4793-4AFD-A89B-3449FB23177E}"/>
            </a:ext>
          </a:extLst>
        </xdr:cNvPr>
        <xdr:cNvSpPr txBox="1"/>
      </xdr:nvSpPr>
      <xdr:spPr>
        <a:xfrm>
          <a:off x="7468152" y="2967935"/>
          <a:ext cx="855870" cy="28298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>
              <a:solidFill>
                <a:schemeClr val="bg1"/>
              </a:solidFill>
            </a:rPr>
            <a:t>Рисунок 2</a:t>
          </a:r>
        </a:p>
      </xdr:txBody>
    </xdr:sp>
    <xdr:clientData/>
  </xdr:twoCellAnchor>
  <xdr:twoCellAnchor>
    <xdr:from>
      <xdr:col>7</xdr:col>
      <xdr:colOff>186358</xdr:colOff>
      <xdr:row>25</xdr:row>
      <xdr:rowOff>69022</xdr:rowOff>
    </xdr:from>
    <xdr:to>
      <xdr:col>9</xdr:col>
      <xdr:colOff>117337</xdr:colOff>
      <xdr:row>26</xdr:row>
      <xdr:rowOff>158750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81F3206-F197-44F1-A7E4-704BFCFAAE66}"/>
            </a:ext>
          </a:extLst>
        </xdr:cNvPr>
        <xdr:cNvSpPr txBox="1"/>
      </xdr:nvSpPr>
      <xdr:spPr>
        <a:xfrm>
          <a:off x="3354456" y="4900544"/>
          <a:ext cx="855870" cy="28298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>
              <a:solidFill>
                <a:schemeClr val="bg1"/>
              </a:solidFill>
            </a:rPr>
            <a:t>Рисунок 3</a:t>
          </a:r>
        </a:p>
      </xdr:txBody>
    </xdr:sp>
    <xdr:clientData/>
  </xdr:twoCellAnchor>
  <xdr:twoCellAnchor>
    <xdr:from>
      <xdr:col>16</xdr:col>
      <xdr:colOff>289891</xdr:colOff>
      <xdr:row>27</xdr:row>
      <xdr:rowOff>117338</xdr:rowOff>
    </xdr:from>
    <xdr:to>
      <xdr:col>18</xdr:col>
      <xdr:colOff>220870</xdr:colOff>
      <xdr:row>29</xdr:row>
      <xdr:rowOff>13805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480BC82-6406-484A-95BF-CD231F6C5A98}"/>
            </a:ext>
          </a:extLst>
        </xdr:cNvPr>
        <xdr:cNvSpPr txBox="1"/>
      </xdr:nvSpPr>
      <xdr:spPr>
        <a:xfrm>
          <a:off x="7620000" y="5335381"/>
          <a:ext cx="855870" cy="28298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>
              <a:solidFill>
                <a:schemeClr val="bg1"/>
              </a:solidFill>
            </a:rPr>
            <a:t>Рисунок 4</a:t>
          </a:r>
        </a:p>
      </xdr:txBody>
    </xdr:sp>
    <xdr:clientData/>
  </xdr:twoCellAnchor>
  <xdr:twoCellAnchor>
    <xdr:from>
      <xdr:col>11</xdr:col>
      <xdr:colOff>262835</xdr:colOff>
      <xdr:row>52</xdr:row>
      <xdr:rowOff>138597</xdr:rowOff>
    </xdr:from>
    <xdr:to>
      <xdr:col>13</xdr:col>
      <xdr:colOff>193813</xdr:colOff>
      <xdr:row>54</xdr:row>
      <xdr:rowOff>35064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4D10E80-2AAD-474B-9A10-2493515633CF}"/>
            </a:ext>
          </a:extLst>
        </xdr:cNvPr>
        <xdr:cNvSpPr txBox="1"/>
      </xdr:nvSpPr>
      <xdr:spPr>
        <a:xfrm>
          <a:off x="5280715" y="10188162"/>
          <a:ext cx="855870" cy="28298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>
              <a:solidFill>
                <a:schemeClr val="bg1"/>
              </a:solidFill>
            </a:rPr>
            <a:t>Рисунок 5</a:t>
          </a:r>
        </a:p>
      </xdr:txBody>
    </xdr:sp>
    <xdr:clientData/>
  </xdr:twoCellAnchor>
  <xdr:twoCellAnchor>
    <xdr:from>
      <xdr:col>13</xdr:col>
      <xdr:colOff>140805</xdr:colOff>
      <xdr:row>36</xdr:row>
      <xdr:rowOff>132521</xdr:rowOff>
    </xdr:from>
    <xdr:to>
      <xdr:col>20</xdr:col>
      <xdr:colOff>252557</xdr:colOff>
      <xdr:row>43</xdr:row>
      <xdr:rowOff>151534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556D2D6-D474-44CD-A524-254558CD897E}"/>
            </a:ext>
          </a:extLst>
        </xdr:cNvPr>
        <xdr:cNvSpPr txBox="1"/>
      </xdr:nvSpPr>
      <xdr:spPr>
        <a:xfrm>
          <a:off x="6079498" y="6886612"/>
          <a:ext cx="3344479" cy="13323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Изменяем значения </a:t>
          </a:r>
          <a:r>
            <a:rPr lang="en-US" sz="1100"/>
            <a:t>x1,</a:t>
          </a:r>
          <a:r>
            <a:rPr lang="en-US" sz="1100" baseline="0"/>
            <a:t> x2, x3, x4 </a:t>
          </a:r>
          <a:r>
            <a:rPr lang="ru-RU" sz="1100" baseline="0"/>
            <a:t>так, чтобы ячейка </a:t>
          </a:r>
          <a:r>
            <a:rPr lang="en-US" sz="1100" baseline="0"/>
            <a:t>G2 (</a:t>
          </a:r>
          <a:r>
            <a:rPr lang="ru-RU" sz="1100" baseline="0"/>
            <a:t>где считается знаечение ЦФ при конкретных </a:t>
          </a:r>
          <a:r>
            <a:rPr lang="en-US" sz="1100" baseline="0"/>
            <a:t>x1, x2, x3, x4) </a:t>
          </a:r>
          <a:r>
            <a:rPr lang="ru-RU" sz="1100" baseline="0"/>
            <a:t>содержала максимальное значение, </a:t>
          </a:r>
        </a:p>
        <a:p>
          <a:r>
            <a:rPr lang="ru-RU" sz="1100" baseline="0"/>
            <a:t>учитывая ограничения значений функций-ограничений (значения считаются в </a:t>
          </a:r>
          <a:r>
            <a:rPr lang="en-US" sz="1100" baseline="0"/>
            <a:t>G3-5</a:t>
          </a:r>
          <a:r>
            <a:rPr lang="ru-RU" sz="1100" baseline="0"/>
            <a:t>)</a:t>
          </a:r>
          <a:r>
            <a:rPr lang="en-US" sz="1100" baseline="0"/>
            <a:t>. </a:t>
          </a:r>
          <a:endParaRPr lang="ru-RU" sz="1100" baseline="0"/>
        </a:p>
        <a:p>
          <a:r>
            <a:rPr lang="ru-RU" sz="1100" baseline="0"/>
            <a:t>Ставим галочку, что все </a:t>
          </a:r>
          <a:r>
            <a:rPr lang="en-US" sz="1100" baseline="0"/>
            <a:t>x </a:t>
          </a:r>
          <a:r>
            <a:rPr lang="ru-RU" sz="1100" baseline="0"/>
            <a:t>положительные. </a:t>
          </a:r>
        </a:p>
        <a:p>
          <a:r>
            <a:rPr lang="ru-RU" sz="1100" baseline="0"/>
            <a:t>Выбираем метод решения симплекс-методом.</a:t>
          </a:r>
          <a:endParaRPr lang="ru-RU" sz="1100"/>
        </a:p>
      </xdr:txBody>
    </xdr:sp>
    <xdr:clientData/>
  </xdr:twoCellAnchor>
  <xdr:twoCellAnchor>
    <xdr:from>
      <xdr:col>4</xdr:col>
      <xdr:colOff>339147</xdr:colOff>
      <xdr:row>36</xdr:row>
      <xdr:rowOff>43295</xdr:rowOff>
    </xdr:from>
    <xdr:to>
      <xdr:col>13</xdr:col>
      <xdr:colOff>194830</xdr:colOff>
      <xdr:row>37</xdr:row>
      <xdr:rowOff>79375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66234AFB-F3FC-4832-B079-7E70921FB38F}"/>
            </a:ext>
          </a:extLst>
        </xdr:cNvPr>
        <xdr:cNvCxnSpPr/>
      </xdr:nvCxnSpPr>
      <xdr:spPr>
        <a:xfrm flipH="1" flipV="1">
          <a:off x="2121477" y="6797386"/>
          <a:ext cx="4012046" cy="2236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57728</xdr:colOff>
      <xdr:row>32</xdr:row>
      <xdr:rowOff>144319</xdr:rowOff>
    </xdr:from>
    <xdr:to>
      <xdr:col>13</xdr:col>
      <xdr:colOff>209262</xdr:colOff>
      <xdr:row>38</xdr:row>
      <xdr:rowOff>50513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47F97405-24B9-4C67-B4B1-AB15D0DCB75E}"/>
            </a:ext>
          </a:extLst>
        </xdr:cNvPr>
        <xdr:cNvCxnSpPr/>
      </xdr:nvCxnSpPr>
      <xdr:spPr>
        <a:xfrm flipH="1" flipV="1">
          <a:off x="3687330" y="6147955"/>
          <a:ext cx="2460625" cy="10318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447386</xdr:colOff>
      <xdr:row>39</xdr:row>
      <xdr:rowOff>28863</xdr:rowOff>
    </xdr:from>
    <xdr:to>
      <xdr:col>13</xdr:col>
      <xdr:colOff>194831</xdr:colOff>
      <xdr:row>40</xdr:row>
      <xdr:rowOff>57729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8B22C76C-394A-4369-BAAF-05B0D3F8E22F}"/>
            </a:ext>
          </a:extLst>
        </xdr:cNvPr>
        <xdr:cNvCxnSpPr/>
      </xdr:nvCxnSpPr>
      <xdr:spPr>
        <a:xfrm flipH="1" flipV="1">
          <a:off x="2229716" y="7345795"/>
          <a:ext cx="3903808" cy="2164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7215</xdr:colOff>
      <xdr:row>41</xdr:row>
      <xdr:rowOff>180398</xdr:rowOff>
    </xdr:from>
    <xdr:to>
      <xdr:col>13</xdr:col>
      <xdr:colOff>202046</xdr:colOff>
      <xdr:row>44</xdr:row>
      <xdr:rowOff>115455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159466CE-2765-4E6C-A176-392F1228870C}"/>
            </a:ext>
          </a:extLst>
        </xdr:cNvPr>
        <xdr:cNvCxnSpPr/>
      </xdr:nvCxnSpPr>
      <xdr:spPr>
        <a:xfrm flipH="1">
          <a:off x="1789545" y="7872557"/>
          <a:ext cx="4351194" cy="4978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346365</xdr:colOff>
      <xdr:row>43</xdr:row>
      <xdr:rowOff>0</xdr:rowOff>
    </xdr:from>
    <xdr:to>
      <xdr:col>13</xdr:col>
      <xdr:colOff>180398</xdr:colOff>
      <xdr:row>46</xdr:row>
      <xdr:rowOff>50512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67A49181-0356-4A74-805B-C4973874379B}"/>
            </a:ext>
          </a:extLst>
        </xdr:cNvPr>
        <xdr:cNvCxnSpPr/>
      </xdr:nvCxnSpPr>
      <xdr:spPr>
        <a:xfrm flipH="1">
          <a:off x="4437785" y="8067386"/>
          <a:ext cx="1681306" cy="6133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88" zoomScaleNormal="115" workbookViewId="0">
      <selection activeCell="M3" sqref="M3"/>
    </sheetView>
  </sheetViews>
  <sheetFormatPr defaultColWidth="6.6328125" defaultRowHeight="15" customHeight="1" x14ac:dyDescent="0.35"/>
  <cols>
    <col min="1" max="1" width="5.6328125" style="1" customWidth="1"/>
    <col min="2" max="16384" width="6.6328125" style="1"/>
  </cols>
  <sheetData>
    <row r="1" spans="1:11" ht="15" customHeight="1" x14ac:dyDescent="0.35">
      <c r="A1" s="2"/>
      <c r="B1" s="2" t="s">
        <v>0</v>
      </c>
      <c r="C1" s="2" t="s">
        <v>1</v>
      </c>
      <c r="D1" s="2" t="s">
        <v>2</v>
      </c>
      <c r="E1" s="2" t="s">
        <v>3</v>
      </c>
      <c r="F1" s="2"/>
      <c r="G1" s="2"/>
      <c r="H1" s="2"/>
      <c r="I1" s="2"/>
      <c r="J1" s="2"/>
      <c r="K1" s="2"/>
    </row>
    <row r="2" spans="1:11" ht="15" customHeight="1" x14ac:dyDescent="0.35">
      <c r="A2" s="2" t="s">
        <v>4</v>
      </c>
      <c r="B2" s="2">
        <v>1</v>
      </c>
      <c r="C2" s="2">
        <v>2</v>
      </c>
      <c r="D2" s="2">
        <v>4</v>
      </c>
      <c r="E2" s="2">
        <v>1</v>
      </c>
      <c r="F2" s="1" t="s">
        <v>11</v>
      </c>
      <c r="G2" s="5">
        <f>SUMPRODUCT($B$6:$E$6,B2:E2)</f>
        <v>19</v>
      </c>
      <c r="H2" s="2" t="s">
        <v>9</v>
      </c>
      <c r="I2" s="2" t="s">
        <v>10</v>
      </c>
      <c r="J2" s="2"/>
      <c r="K2" s="2"/>
    </row>
    <row r="3" spans="1:11" ht="15" customHeight="1" x14ac:dyDescent="0.35">
      <c r="A3" s="6" t="s">
        <v>7</v>
      </c>
      <c r="B3" s="2">
        <v>1</v>
      </c>
      <c r="C3" s="2">
        <v>1</v>
      </c>
      <c r="D3" s="2">
        <v>1</v>
      </c>
      <c r="E3" s="2">
        <v>0</v>
      </c>
      <c r="F3" s="1" t="s">
        <v>11</v>
      </c>
      <c r="G3" s="1">
        <f>SUMPRODUCT($B$6:$E$6,B3:E3)</f>
        <v>10</v>
      </c>
      <c r="H3" s="1" t="s">
        <v>5</v>
      </c>
      <c r="I3" s="2">
        <v>10</v>
      </c>
      <c r="J3" s="2"/>
      <c r="K3" s="2"/>
    </row>
    <row r="4" spans="1:11" ht="15" customHeight="1" x14ac:dyDescent="0.35">
      <c r="A4" s="6"/>
      <c r="B4" s="2">
        <v>0</v>
      </c>
      <c r="C4" s="2">
        <v>1</v>
      </c>
      <c r="D4" s="2">
        <v>2</v>
      </c>
      <c r="E4" s="2">
        <v>1</v>
      </c>
      <c r="F4" s="1" t="s">
        <v>11</v>
      </c>
      <c r="G4" s="1">
        <f>SUMPRODUCT($B$6:$E$6,B4:E4)</f>
        <v>6</v>
      </c>
      <c r="H4" s="1" t="s">
        <v>11</v>
      </c>
      <c r="I4" s="2">
        <v>6</v>
      </c>
      <c r="J4" s="2"/>
      <c r="K4" s="2"/>
    </row>
    <row r="5" spans="1:11" ht="15" customHeight="1" x14ac:dyDescent="0.35">
      <c r="A5" s="6"/>
      <c r="B5" s="2">
        <v>1</v>
      </c>
      <c r="C5" s="2">
        <v>0</v>
      </c>
      <c r="D5" s="2">
        <v>0</v>
      </c>
      <c r="E5" s="2">
        <v>1</v>
      </c>
      <c r="F5" s="1" t="s">
        <v>11</v>
      </c>
      <c r="G5" s="1">
        <f>SUMPRODUCT($B$6:$E$6,B5:E5)</f>
        <v>7</v>
      </c>
      <c r="H5" s="1" t="s">
        <v>6</v>
      </c>
      <c r="I5" s="2">
        <v>2</v>
      </c>
      <c r="J5" s="2"/>
      <c r="K5" s="2"/>
    </row>
    <row r="6" spans="1:11" ht="15" customHeight="1" x14ac:dyDescent="0.35">
      <c r="A6" s="4" t="s">
        <v>8</v>
      </c>
      <c r="B6" s="5">
        <v>7</v>
      </c>
      <c r="C6" s="5">
        <v>0</v>
      </c>
      <c r="D6" s="5">
        <v>3</v>
      </c>
      <c r="E6" s="5">
        <v>0</v>
      </c>
      <c r="J6" s="2"/>
      <c r="K6" s="2"/>
    </row>
    <row r="7" spans="1:11" ht="15" customHeight="1" x14ac:dyDescent="0.35">
      <c r="A7" s="3"/>
      <c r="J7" s="2"/>
      <c r="K7" s="2"/>
    </row>
    <row r="8" spans="1:11" ht="15" customHeight="1" x14ac:dyDescent="0.35">
      <c r="A8" s="2"/>
      <c r="F8" s="2"/>
      <c r="G8" s="2"/>
      <c r="H8" s="2"/>
      <c r="I8" s="2"/>
      <c r="J8" s="2"/>
      <c r="K8" s="2"/>
    </row>
    <row r="9" spans="1:11" ht="15" customHeight="1" x14ac:dyDescent="0.35">
      <c r="A9" s="2"/>
      <c r="F9" s="2"/>
      <c r="G9" s="2"/>
      <c r="H9" s="2"/>
      <c r="I9" s="2"/>
      <c r="J9" s="2"/>
      <c r="K9" s="2"/>
    </row>
    <row r="10" spans="1:11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" customHeight="1" x14ac:dyDescent="0.35">
      <c r="A12" s="2"/>
      <c r="F12" s="2"/>
      <c r="G12" s="2"/>
      <c r="H12" s="2"/>
      <c r="I12" s="2"/>
      <c r="J12" s="2"/>
      <c r="K12" s="2"/>
    </row>
    <row r="13" spans="1:11" ht="15" customHeight="1" x14ac:dyDescent="0.35">
      <c r="A13" s="2"/>
      <c r="F13" s="2"/>
      <c r="G13" s="2"/>
      <c r="H13" s="2"/>
      <c r="I13" s="2"/>
      <c r="J13" s="2"/>
      <c r="K13" s="2"/>
    </row>
    <row r="14" spans="1:11" ht="1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mergeCells count="1">
    <mergeCell ref="A3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2026-10-05T13:57:24Z</dcterms:modified>
</cp:coreProperties>
</file>